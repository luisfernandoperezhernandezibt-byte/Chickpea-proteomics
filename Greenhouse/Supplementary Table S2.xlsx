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cmx-my.sharepoint.com/personal/a01732083_tec_mx/Documents/Requisitos doctorado/Paper 2/Revisar/Supplementary Material/Greenhouse/"/>
    </mc:Choice>
  </mc:AlternateContent>
  <xr:revisionPtr revIDLastSave="43" documentId="8_{7D771671-84EF-4E4D-BB9B-93F443D84C0A}" xr6:coauthVersionLast="47" xr6:coauthVersionMax="47" xr10:uidLastSave="{1AB88EC9-1DA1-421E-81C3-DDF27C28768A}"/>
  <bookViews>
    <workbookView xWindow="-120" yWindow="-120" windowWidth="29040" windowHeight="15720" tabRatio="500" activeTab="1" xr2:uid="{00000000-000D-0000-FFFF-FFFF00000000}"/>
  </bookViews>
  <sheets>
    <sheet name="2025" sheetId="3" r:id="rId1"/>
    <sheet name="Source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5" i="3" l="1"/>
  <c r="G15" i="3"/>
  <c r="F15" i="3"/>
  <c r="E15" i="3"/>
  <c r="D15" i="3"/>
  <c r="C15" i="3"/>
</calcChain>
</file>

<file path=xl/sharedStrings.xml><?xml version="1.0" encoding="utf-8"?>
<sst xmlns="http://schemas.openxmlformats.org/spreadsheetml/2006/main" count="52" uniqueCount="52">
  <si>
    <t>Month</t>
  </si>
  <si>
    <t>Ra ext. solar
(MJ/m²/day)</t>
  </si>
  <si>
    <t>Rs solar
(MJ/m²/day)</t>
  </si>
  <si>
    <t>Rs solar
(W/m²)</t>
  </si>
  <si>
    <t>ETo Hargreaves
(mm/day)</t>
  </si>
  <si>
    <t>ETo Hargreaves
(mm/month)</t>
  </si>
  <si>
    <t>Days in month</t>
  </si>
  <si>
    <t>Jan / Ene</t>
  </si>
  <si>
    <t>Feb / Feb</t>
  </si>
  <si>
    <t>Mar / Mar</t>
  </si>
  <si>
    <t>Apr / Abr</t>
  </si>
  <si>
    <t>May / May</t>
  </si>
  <si>
    <t>Jun / Jun</t>
  </si>
  <si>
    <t>Jul / Jul</t>
  </si>
  <si>
    <t>Aug / Ago</t>
  </si>
  <si>
    <t>Sep / Sep</t>
  </si>
  <si>
    <t>Oct / Oct</t>
  </si>
  <si>
    <t>Nov / Nov</t>
  </si>
  <si>
    <t>Dec / Dic</t>
  </si>
  <si>
    <t>Source</t>
  </si>
  <si>
    <t>URL</t>
  </si>
  <si>
    <t>SMN/CONAGUA monthly state summaries</t>
  </si>
  <si>
    <t>https://smn.conagua.gob.mx/es/climatologia/temperaturas-y-lluvias/resumenes-mensuales-de-temperaturas-y-lluvias</t>
  </si>
  <si>
    <t>https://smn.conagua.gob.mx/tools/DATA/Climatología/Pronóstico climático/Temperatura y Lluvia/TMED/2024.pdf</t>
  </si>
  <si>
    <t>https://smn.conagua.gob.mx/tools/DATA/Climatología/Pronóstico climático/Temperatura y Lluvia/TMAX/2024.pdf</t>
  </si>
  <si>
    <t>https://smn.conagua.gob.mx/tools/DATA/Climatología/Pronóstico climático/Temperatura y Lluvia/TMIN/2024.pdf</t>
  </si>
  <si>
    <t>https://smn.conagua.gob.mx/tools/DATA/Climatología/Pronóstico climático/Temperatura y Lluvia/PREC/2024.pdf</t>
  </si>
  <si>
    <t>https://smadsot.puebla.gob.mx/index.php/cambioclimatico/</t>
  </si>
  <si>
    <t>SMADSOT Puebla bulletin 15-Apr-2024</t>
  </si>
  <si>
    <t>https://smadsot.puebla.gob.mx/images/Cambio-climatico/anteriores/Reporte Quincenal SMADSOT 150424.pdf</t>
  </si>
  <si>
    <t>SMADSOT Puebla bulletin 15-May-2024</t>
  </si>
  <si>
    <t>https://smadsot.puebla.gob.mx/images/Cambio-climatico/anteriores/Reporte Quincenal SMADSOT 150524.pdf</t>
  </si>
  <si>
    <t>SMADSOT Puebla bulletin 31-Oct-2025</t>
  </si>
  <si>
    <t>https://smadsot.puebla.gob.mx/images/Cambio-climatico/anteriores/Reporte Quincenal SMADSOT 31.10.25.pdf</t>
  </si>
  <si>
    <t>https://smn.conagua.gob.mx/es/climatologia/informacion-climatologica/normales-climatologicas-por-estado?estado=pue</t>
  </si>
  <si>
    <t>https://cuentame.inegi.org.mx/monografias/informacion/pue/territorio/clima.aspx</t>
  </si>
  <si>
    <t>https://cambioclimatico.gob.mx/estadosymunicipios/Vulnerabilidad/V_21.html</t>
  </si>
  <si>
    <t>FAO Irrigation &amp; Drainage Paper No. 56 (Allen et al. 1998)</t>
  </si>
  <si>
    <t>https://www.fao.org/3/x0490e/x0490e00.htm</t>
  </si>
  <si>
    <t>https://www.plataformadetransparencia.org.mx</t>
  </si>
  <si>
    <t>SMN/CONAGUA - 2024 Tmean state PDF</t>
  </si>
  <si>
    <t>SMN/CONAGUA - 2024 Tmax state PDF</t>
  </si>
  <si>
    <t>SMN/CONAGUA - 2024 Tmin state PDF</t>
  </si>
  <si>
    <t>SMN/CONAGUA - 2024 Precip state PDF</t>
  </si>
  <si>
    <t>SMADSOT Puebla - quincenal bulletins</t>
  </si>
  <si>
    <t>SMN: Normales climatologicas station 21035 Puebla (DGE)</t>
  </si>
  <si>
    <t>INEGI Cuentame- Clima Puebla</t>
  </si>
  <si>
    <t>INECC - Tendencias estatales 1985-2018, Puebla</t>
  </si>
  <si>
    <t>CONAGUA Plataforma de Transparencia (INAI)- Solicitud de datos</t>
  </si>
  <si>
    <t>https://smadsot.puebla.gob.mx/images/Cambio-climatico/anteriores/Reporte%20Quincenal%20SMADSOT%20300425.pdf</t>
  </si>
  <si>
    <t>Report from the Puebla Goverment-2025</t>
  </si>
  <si>
    <t>Annual 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</si>
</sst>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u/>
      <sz val="9"/>
      <color rgb="FF0000FF"/>
      <name val="Arial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 wrapText="1"/>
    </xf>
    <xf numFmtId="2" fontId="1" fillId="3" borderId="0" xfId="0" applyNumberFormat="1" applyFont="1" applyFill="1" applyAlignment="1">
      <alignment horizontal="center" vertical="center" wrapText="1"/>
    </xf>
    <xf numFmtId="164" fontId="1" fillId="3" borderId="0" xfId="0" applyNumberFormat="1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vertical="top" wrapText="1"/>
    </xf>
    <xf numFmtId="0" fontId="3" fillId="3" borderId="0" xfId="1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smadsot.puebla.gob.mx/images/Cambio-climatico/anteriores/Reporte%20Quincenal%20SMADSOT%20300425.pdf" TargetMode="External"/><Relationship Id="rId1" Type="http://schemas.openxmlformats.org/officeDocument/2006/relationships/hyperlink" Target="https://smn.conagua.gob.mx/es/climatologia/temperaturas-y-lluvias/resumenes-mensuales-de-temperaturas-y-lluvi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5"/>
  <sheetViews>
    <sheetView zoomScaleNormal="100" workbookViewId="0">
      <selection activeCell="P9" sqref="P9"/>
    </sheetView>
  </sheetViews>
  <sheetFormatPr defaultColWidth="8.7109375" defaultRowHeight="15" x14ac:dyDescent="0.25"/>
  <cols>
    <col min="2" max="7" width="14" customWidth="1"/>
    <col min="8" max="8" width="9" customWidth="1"/>
  </cols>
  <sheetData>
    <row r="2" spans="2:8" ht="36" customHeight="1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</row>
    <row r="3" spans="2:8" x14ac:dyDescent="0.25">
      <c r="B3" s="5" t="s">
        <v>7</v>
      </c>
      <c r="C3" s="6">
        <v>27.29</v>
      </c>
      <c r="D3" s="6">
        <v>18.27</v>
      </c>
      <c r="E3" s="7">
        <v>211.4</v>
      </c>
      <c r="F3" s="6">
        <v>3.57</v>
      </c>
      <c r="G3" s="7">
        <v>110.8</v>
      </c>
      <c r="H3" s="5">
        <v>31</v>
      </c>
    </row>
    <row r="4" spans="2:8" x14ac:dyDescent="0.25">
      <c r="B4" s="5" t="s">
        <v>8</v>
      </c>
      <c r="C4" s="6">
        <v>31.01</v>
      </c>
      <c r="D4" s="6">
        <v>21.05</v>
      </c>
      <c r="E4" s="7">
        <v>243.6</v>
      </c>
      <c r="F4" s="6">
        <v>4.2699999999999996</v>
      </c>
      <c r="G4" s="7">
        <v>119.7</v>
      </c>
      <c r="H4" s="5">
        <v>28</v>
      </c>
    </row>
    <row r="5" spans="2:8" x14ac:dyDescent="0.25">
      <c r="B5" s="5" t="s">
        <v>9</v>
      </c>
      <c r="C5" s="6">
        <v>34.92</v>
      </c>
      <c r="D5" s="6">
        <v>23.7</v>
      </c>
      <c r="E5" s="7">
        <v>274.3</v>
      </c>
      <c r="F5" s="6">
        <v>5.09</v>
      </c>
      <c r="G5" s="7">
        <v>157.80000000000001</v>
      </c>
      <c r="H5" s="5">
        <v>31</v>
      </c>
    </row>
    <row r="6" spans="2:8" x14ac:dyDescent="0.25">
      <c r="B6" s="5" t="s">
        <v>10</v>
      </c>
      <c r="C6" s="6">
        <v>37.979999999999997</v>
      </c>
      <c r="D6" s="6">
        <v>25.06</v>
      </c>
      <c r="E6" s="7">
        <v>290</v>
      </c>
      <c r="F6" s="6">
        <v>5.6</v>
      </c>
      <c r="G6" s="7">
        <v>168</v>
      </c>
      <c r="H6" s="5">
        <v>30</v>
      </c>
    </row>
    <row r="7" spans="2:8" x14ac:dyDescent="0.25">
      <c r="B7" s="5" t="s">
        <v>11</v>
      </c>
      <c r="C7" s="6">
        <v>39.17</v>
      </c>
      <c r="D7" s="6">
        <v>24.68</v>
      </c>
      <c r="E7" s="7">
        <v>285.60000000000002</v>
      </c>
      <c r="F7" s="6">
        <v>5.55</v>
      </c>
      <c r="G7" s="7">
        <v>172.1</v>
      </c>
      <c r="H7" s="5">
        <v>31</v>
      </c>
    </row>
    <row r="8" spans="2:8" x14ac:dyDescent="0.25">
      <c r="B8" s="5" t="s">
        <v>12</v>
      </c>
      <c r="C8" s="6">
        <v>39.33</v>
      </c>
      <c r="D8" s="6">
        <v>22.69</v>
      </c>
      <c r="E8" s="7">
        <v>262.60000000000002</v>
      </c>
      <c r="F8" s="6">
        <v>5.01</v>
      </c>
      <c r="G8" s="7">
        <v>150.19999999999999</v>
      </c>
      <c r="H8" s="5">
        <v>30</v>
      </c>
    </row>
    <row r="9" spans="2:8" x14ac:dyDescent="0.25">
      <c r="B9" s="5" t="s">
        <v>13</v>
      </c>
      <c r="C9" s="6">
        <v>39.119999999999997</v>
      </c>
      <c r="D9" s="6">
        <v>21.68</v>
      </c>
      <c r="E9" s="7">
        <v>251</v>
      </c>
      <c r="F9" s="6">
        <v>4.66</v>
      </c>
      <c r="G9" s="7">
        <v>144.30000000000001</v>
      </c>
      <c r="H9" s="5">
        <v>31</v>
      </c>
    </row>
    <row r="10" spans="2:8" x14ac:dyDescent="0.25">
      <c r="B10" s="5" t="s">
        <v>14</v>
      </c>
      <c r="C10" s="6">
        <v>38.270000000000003</v>
      </c>
      <c r="D10" s="6">
        <v>21.21</v>
      </c>
      <c r="E10" s="7">
        <v>245.5</v>
      </c>
      <c r="F10" s="6">
        <v>4.55</v>
      </c>
      <c r="G10" s="7">
        <v>141.19999999999999</v>
      </c>
      <c r="H10" s="5">
        <v>31</v>
      </c>
    </row>
    <row r="11" spans="2:8" x14ac:dyDescent="0.25">
      <c r="B11" s="5" t="s">
        <v>15</v>
      </c>
      <c r="C11" s="6">
        <v>35.9</v>
      </c>
      <c r="D11" s="6">
        <v>19.899999999999999</v>
      </c>
      <c r="E11" s="7">
        <v>230.3</v>
      </c>
      <c r="F11" s="6">
        <v>4.21</v>
      </c>
      <c r="G11" s="7">
        <v>126.4</v>
      </c>
      <c r="H11" s="5">
        <v>30</v>
      </c>
    </row>
    <row r="12" spans="2:8" x14ac:dyDescent="0.25">
      <c r="B12" s="5" t="s">
        <v>16</v>
      </c>
      <c r="C12" s="6">
        <v>32.1</v>
      </c>
      <c r="D12" s="6">
        <v>18.87</v>
      </c>
      <c r="E12" s="7">
        <v>218.4</v>
      </c>
      <c r="F12" s="6">
        <v>3.86</v>
      </c>
      <c r="G12" s="7">
        <v>119.6</v>
      </c>
      <c r="H12" s="5">
        <v>31</v>
      </c>
    </row>
    <row r="13" spans="2:8" x14ac:dyDescent="0.25">
      <c r="B13" s="5" t="s">
        <v>17</v>
      </c>
      <c r="C13" s="6">
        <v>28.1</v>
      </c>
      <c r="D13" s="6">
        <v>17.7</v>
      </c>
      <c r="E13" s="7">
        <v>204.9</v>
      </c>
      <c r="F13" s="6">
        <v>3.52</v>
      </c>
      <c r="G13" s="7">
        <v>105.5</v>
      </c>
      <c r="H13" s="5">
        <v>30</v>
      </c>
    </row>
    <row r="14" spans="2:8" x14ac:dyDescent="0.25">
      <c r="B14" s="5" t="s">
        <v>18</v>
      </c>
      <c r="C14" s="6">
        <v>26.16</v>
      </c>
      <c r="D14" s="6">
        <v>17.260000000000002</v>
      </c>
      <c r="E14" s="7">
        <v>199.8</v>
      </c>
      <c r="F14" s="6">
        <v>3.35</v>
      </c>
      <c r="G14" s="7">
        <v>103.9</v>
      </c>
      <c r="H14" s="5">
        <v>31</v>
      </c>
    </row>
    <row r="15" spans="2:8" x14ac:dyDescent="0.25">
      <c r="B15" s="9" t="s">
        <v>51</v>
      </c>
      <c r="C15" s="10">
        <f>AVERAGE(C3:C14)</f>
        <v>34.112500000000004</v>
      </c>
      <c r="D15" s="10">
        <f>AVERAGE(D3:D14)</f>
        <v>21.005833333333332</v>
      </c>
      <c r="E15" s="11">
        <f>AVERAGE(E3:E14)</f>
        <v>243.1166666666667</v>
      </c>
      <c r="F15" s="10">
        <f>AVERAGE(F3:F14)</f>
        <v>4.4366666666666665</v>
      </c>
      <c r="G15" s="11">
        <f>SUM(G3:G14)</f>
        <v>1619.5</v>
      </c>
      <c r="H15" s="9">
        <f>SUM(H3:H14)</f>
        <v>365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C17"/>
  <sheetViews>
    <sheetView tabSelected="1" zoomScaleNormal="100" workbookViewId="0">
      <selection activeCell="K8" sqref="K8"/>
    </sheetView>
  </sheetViews>
  <sheetFormatPr defaultColWidth="8.7109375" defaultRowHeight="15" x14ac:dyDescent="0.25"/>
  <cols>
    <col min="2" max="2" width="42" customWidth="1"/>
    <col min="3" max="3" width="70" customWidth="1"/>
  </cols>
  <sheetData>
    <row r="2" spans="2:3" ht="24" customHeight="1" x14ac:dyDescent="0.25">
      <c r="B2" s="8" t="s">
        <v>19</v>
      </c>
      <c r="C2" s="8" t="s">
        <v>20</v>
      </c>
    </row>
    <row r="3" spans="2:3" ht="30" x14ac:dyDescent="0.25">
      <c r="B3" s="1" t="s">
        <v>21</v>
      </c>
      <c r="C3" s="12" t="s">
        <v>22</v>
      </c>
    </row>
    <row r="4" spans="2:3" ht="24" x14ac:dyDescent="0.25">
      <c r="B4" s="1" t="s">
        <v>40</v>
      </c>
      <c r="C4" s="2" t="s">
        <v>23</v>
      </c>
    </row>
    <row r="5" spans="2:3" ht="24" x14ac:dyDescent="0.25">
      <c r="B5" s="1" t="s">
        <v>41</v>
      </c>
      <c r="C5" s="2" t="s">
        <v>24</v>
      </c>
    </row>
    <row r="6" spans="2:3" ht="24" x14ac:dyDescent="0.25">
      <c r="B6" s="1" t="s">
        <v>42</v>
      </c>
      <c r="C6" s="2" t="s">
        <v>25</v>
      </c>
    </row>
    <row r="7" spans="2:3" ht="24" x14ac:dyDescent="0.25">
      <c r="B7" s="1" t="s">
        <v>43</v>
      </c>
      <c r="C7" s="2" t="s">
        <v>26</v>
      </c>
    </row>
    <row r="8" spans="2:3" x14ac:dyDescent="0.25">
      <c r="B8" s="1" t="s">
        <v>44</v>
      </c>
      <c r="C8" s="2" t="s">
        <v>27</v>
      </c>
    </row>
    <row r="9" spans="2:3" ht="24" x14ac:dyDescent="0.25">
      <c r="B9" s="1" t="s">
        <v>28</v>
      </c>
      <c r="C9" s="2" t="s">
        <v>29</v>
      </c>
    </row>
    <row r="10" spans="2:3" ht="24" x14ac:dyDescent="0.25">
      <c r="B10" s="1" t="s">
        <v>30</v>
      </c>
      <c r="C10" s="2" t="s">
        <v>31</v>
      </c>
    </row>
    <row r="11" spans="2:3" ht="24" x14ac:dyDescent="0.25">
      <c r="B11" s="1" t="s">
        <v>32</v>
      </c>
      <c r="C11" s="2" t="s">
        <v>33</v>
      </c>
    </row>
    <row r="12" spans="2:3" ht="25.5" x14ac:dyDescent="0.25">
      <c r="B12" s="1" t="s">
        <v>45</v>
      </c>
      <c r="C12" s="2" t="s">
        <v>34</v>
      </c>
    </row>
    <row r="13" spans="2:3" x14ac:dyDescent="0.25">
      <c r="B13" s="1" t="s">
        <v>46</v>
      </c>
      <c r="C13" s="2" t="s">
        <v>35</v>
      </c>
    </row>
    <row r="14" spans="2:3" ht="25.5" x14ac:dyDescent="0.25">
      <c r="B14" s="1" t="s">
        <v>47</v>
      </c>
      <c r="C14" s="2" t="s">
        <v>36</v>
      </c>
    </row>
    <row r="15" spans="2:3" ht="25.5" x14ac:dyDescent="0.25">
      <c r="B15" s="1" t="s">
        <v>37</v>
      </c>
      <c r="C15" s="2" t="s">
        <v>38</v>
      </c>
    </row>
    <row r="16" spans="2:3" ht="30" x14ac:dyDescent="0.25">
      <c r="B16" s="1" t="s">
        <v>50</v>
      </c>
      <c r="C16" s="13" t="s">
        <v>49</v>
      </c>
    </row>
    <row r="17" spans="2:3" ht="25.5" x14ac:dyDescent="0.25">
      <c r="B17" s="3" t="s">
        <v>48</v>
      </c>
      <c r="C17" s="4" t="s">
        <v>39</v>
      </c>
    </row>
  </sheetData>
  <hyperlinks>
    <hyperlink ref="C3" r:id="rId1" xr:uid="{F1C55649-6D49-48C3-8A07-2170AF46B568}"/>
    <hyperlink ref="C16" r:id="rId2" xr:uid="{85EF521E-7926-4F3B-976C-BEE154CDB119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Fernando Pérez Hernández</cp:lastModifiedBy>
  <cp:revision>0</cp:revision>
  <dcterms:created xsi:type="dcterms:W3CDTF">2026-05-13T17:55:14Z</dcterms:created>
  <dcterms:modified xsi:type="dcterms:W3CDTF">2026-07-05T04:08:26Z</dcterms:modified>
  <dc:language>en-US</dc:language>
</cp:coreProperties>
</file>